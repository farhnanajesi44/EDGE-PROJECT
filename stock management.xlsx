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us\Desktop\"/>
    </mc:Choice>
  </mc:AlternateContent>
  <bookViews>
    <workbookView xWindow="0" yWindow="0" windowWidth="15345" windowHeight="4650"/>
  </bookViews>
  <sheets>
    <sheet name="Sheet1" sheetId="1" r:id="rId1"/>
    <sheet name="Sheet2" sheetId="2" r:id="rId2"/>
  </sheets>
  <definedNames>
    <definedName name="_xlnm._FilterDatabase" localSheetId="0" hidden="1">Sheet1!$B$6:$B$15</definedName>
    <definedName name="_xlnm.Extract" localSheetId="0">Sheet1!$K$10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F8" i="2"/>
  <c r="F9" i="2"/>
  <c r="F10" i="2"/>
  <c r="F11" i="2"/>
  <c r="F12" i="2"/>
  <c r="F7" i="2"/>
  <c r="G12" i="2"/>
</calcChain>
</file>

<file path=xl/sharedStrings.xml><?xml version="1.0" encoding="utf-8"?>
<sst xmlns="http://schemas.openxmlformats.org/spreadsheetml/2006/main" count="50" uniqueCount="29">
  <si>
    <t>TAMANNA FOOD</t>
  </si>
  <si>
    <t>DAILY EXPENSE</t>
  </si>
  <si>
    <t>SL</t>
  </si>
  <si>
    <t>AMOUNT</t>
  </si>
  <si>
    <t>DATE</t>
  </si>
  <si>
    <t>SHOP</t>
  </si>
  <si>
    <t>REMARKS</t>
  </si>
  <si>
    <t>POLY</t>
  </si>
  <si>
    <t>SANITIZER</t>
  </si>
  <si>
    <t>CAP</t>
  </si>
  <si>
    <t>SOAP</t>
  </si>
  <si>
    <t xml:space="preserve">SANITIZER </t>
  </si>
  <si>
    <t>MASK</t>
  </si>
  <si>
    <t>WATER</t>
  </si>
  <si>
    <t>SALARY</t>
  </si>
  <si>
    <t>EVENING SCACKS</t>
  </si>
  <si>
    <t>ELECTRICITY BILL</t>
  </si>
  <si>
    <t>EVENING SNACKS</t>
  </si>
  <si>
    <t>ELECTRTRICITY BILL</t>
  </si>
  <si>
    <t>AZAD ENTERPIZE</t>
  </si>
  <si>
    <t>PHARMACY</t>
  </si>
  <si>
    <t>SUPER SHOP</t>
  </si>
  <si>
    <t>LOCAL MARKET</t>
  </si>
  <si>
    <t>FRESH</t>
  </si>
  <si>
    <t>HOTEL</t>
  </si>
  <si>
    <t>BANK</t>
  </si>
  <si>
    <t>CASH</t>
  </si>
  <si>
    <t>CHEQUE</t>
  </si>
  <si>
    <t>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</si>
</sst>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6" borderId="1" xfId="0" applyFont="1" applyFill="1" applyBorder="1"/>
    <xf numFmtId="0" fontId="3" fillId="0" borderId="1" xfId="0" applyFont="1" applyBorder="1"/>
    <xf numFmtId="165" fontId="3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/>
    <xf numFmtId="0" fontId="3" fillId="5" borderId="0" xfId="0" applyFont="1" applyFill="1"/>
    <xf numFmtId="0" fontId="2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topLeftCell="A4" workbookViewId="0">
      <selection activeCell="H15" sqref="H15"/>
    </sheetView>
  </sheetViews>
  <sheetFormatPr defaultRowHeight="15" x14ac:dyDescent="0.25"/>
  <cols>
    <col min="1" max="1" width="9.28515625" bestFit="1" customWidth="1"/>
    <col min="2" max="2" width="15.28515625" customWidth="1"/>
    <col min="3" max="3" width="21.42578125" customWidth="1"/>
    <col min="4" max="4" width="17.85546875" customWidth="1"/>
    <col min="5" max="5" width="25.5703125" customWidth="1"/>
    <col min="6" max="6" width="17.28515625" customWidth="1"/>
    <col min="8" max="8" width="25.7109375" customWidth="1"/>
    <col min="11" max="11" width="12.5703125" bestFit="1" customWidth="1"/>
  </cols>
  <sheetData>
    <row r="1" spans="1:11" ht="23.25" x14ac:dyDescent="0.35">
      <c r="A1" s="8"/>
      <c r="B1" s="8"/>
      <c r="C1" s="8"/>
      <c r="D1" s="8"/>
      <c r="E1" s="8"/>
      <c r="F1" s="8"/>
    </row>
    <row r="2" spans="1:11" ht="23.25" x14ac:dyDescent="0.35">
      <c r="A2" s="9" t="s">
        <v>0</v>
      </c>
      <c r="B2" s="10"/>
      <c r="C2" s="10"/>
      <c r="D2" s="10"/>
      <c r="E2" s="10"/>
      <c r="F2" s="11"/>
    </row>
    <row r="3" spans="1:11" ht="23.25" x14ac:dyDescent="0.35">
      <c r="A3" s="12" t="s">
        <v>1</v>
      </c>
      <c r="B3" s="13"/>
      <c r="C3" s="13"/>
      <c r="D3" s="13"/>
      <c r="E3" s="13"/>
      <c r="F3" s="14"/>
    </row>
    <row r="4" spans="1:11" ht="23.25" x14ac:dyDescent="0.35">
      <c r="A4" s="15"/>
      <c r="B4" s="16"/>
      <c r="C4" s="16"/>
      <c r="D4" s="16"/>
      <c r="E4" s="16"/>
      <c r="F4" s="17"/>
    </row>
    <row r="5" spans="1:11" ht="24" thickBot="1" x14ac:dyDescent="0.4">
      <c r="A5" s="15"/>
      <c r="B5" s="16"/>
      <c r="C5" s="16"/>
      <c r="D5" s="16"/>
      <c r="E5" s="16"/>
      <c r="F5" s="17"/>
    </row>
    <row r="6" spans="1:11" ht="23.25" x14ac:dyDescent="0.35">
      <c r="A6" s="18" t="s">
        <v>2</v>
      </c>
      <c r="B6" s="18" t="s">
        <v>4</v>
      </c>
      <c r="C6" s="18" t="s">
        <v>1</v>
      </c>
      <c r="D6" s="18" t="s">
        <v>3</v>
      </c>
      <c r="E6" s="18" t="s">
        <v>5</v>
      </c>
      <c r="F6" s="18" t="s">
        <v>6</v>
      </c>
      <c r="H6" s="21" t="s">
        <v>1</v>
      </c>
    </row>
    <row r="7" spans="1:11" ht="23.25" x14ac:dyDescent="0.35">
      <c r="A7" s="19">
        <v>1</v>
      </c>
      <c r="B7" s="3">
        <v>45597</v>
      </c>
      <c r="C7" s="19" t="s">
        <v>7</v>
      </c>
      <c r="D7" s="18"/>
      <c r="E7" s="20" t="s">
        <v>19</v>
      </c>
      <c r="F7" s="2" t="s">
        <v>27</v>
      </c>
      <c r="H7" s="22" t="s">
        <v>7</v>
      </c>
    </row>
    <row r="8" spans="1:11" ht="23.25" x14ac:dyDescent="0.35">
      <c r="A8" s="19">
        <v>2</v>
      </c>
      <c r="B8" s="3">
        <v>45597</v>
      </c>
      <c r="C8" s="19" t="s">
        <v>8</v>
      </c>
      <c r="D8" s="18">
        <v>1000</v>
      </c>
      <c r="E8" s="20" t="s">
        <v>20</v>
      </c>
      <c r="F8" s="2" t="s">
        <v>26</v>
      </c>
      <c r="H8" s="22" t="s">
        <v>11</v>
      </c>
    </row>
    <row r="9" spans="1:11" ht="23.25" x14ac:dyDescent="0.35">
      <c r="A9" s="19">
        <v>3</v>
      </c>
      <c r="B9" s="3">
        <v>45599</v>
      </c>
      <c r="C9" s="19" t="s">
        <v>10</v>
      </c>
      <c r="D9" s="18">
        <v>500</v>
      </c>
      <c r="E9" s="20" t="s">
        <v>21</v>
      </c>
      <c r="F9" s="2" t="s">
        <v>26</v>
      </c>
      <c r="H9" s="22" t="s">
        <v>10</v>
      </c>
    </row>
    <row r="10" spans="1:11" ht="23.25" x14ac:dyDescent="0.35">
      <c r="A10" s="19">
        <v>4</v>
      </c>
      <c r="B10" s="3">
        <v>45600</v>
      </c>
      <c r="C10" s="19" t="s">
        <v>9</v>
      </c>
      <c r="D10" s="18">
        <v>500</v>
      </c>
      <c r="E10" s="20" t="s">
        <v>22</v>
      </c>
      <c r="F10" s="2" t="s">
        <v>26</v>
      </c>
      <c r="H10" s="22" t="s">
        <v>9</v>
      </c>
      <c r="K10" s="6" t="s">
        <v>4</v>
      </c>
    </row>
    <row r="11" spans="1:11" ht="23.25" x14ac:dyDescent="0.35">
      <c r="A11" s="19">
        <v>5</v>
      </c>
      <c r="B11" s="3">
        <v>45601</v>
      </c>
      <c r="C11" s="19" t="s">
        <v>12</v>
      </c>
      <c r="D11" s="18">
        <v>500</v>
      </c>
      <c r="E11" s="20" t="s">
        <v>20</v>
      </c>
      <c r="F11" s="2" t="s">
        <v>26</v>
      </c>
      <c r="H11" s="22" t="s">
        <v>12</v>
      </c>
      <c r="K11" s="7">
        <v>45597</v>
      </c>
    </row>
    <row r="12" spans="1:11" ht="23.25" x14ac:dyDescent="0.35">
      <c r="A12" s="19">
        <v>6</v>
      </c>
      <c r="B12" s="3">
        <v>45601</v>
      </c>
      <c r="C12" s="19" t="s">
        <v>13</v>
      </c>
      <c r="D12" s="18">
        <v>1000</v>
      </c>
      <c r="E12" s="20" t="s">
        <v>23</v>
      </c>
      <c r="F12" s="2" t="s">
        <v>26</v>
      </c>
      <c r="H12" s="22" t="s">
        <v>13</v>
      </c>
      <c r="K12" s="7">
        <v>45599</v>
      </c>
    </row>
    <row r="13" spans="1:11" ht="23.25" x14ac:dyDescent="0.35">
      <c r="A13" s="19">
        <v>7</v>
      </c>
      <c r="B13" s="3">
        <v>45601</v>
      </c>
      <c r="C13" s="19" t="s">
        <v>14</v>
      </c>
      <c r="D13" s="18">
        <v>50000</v>
      </c>
      <c r="E13" s="20" t="s">
        <v>0</v>
      </c>
      <c r="F13" s="2" t="s">
        <v>28</v>
      </c>
      <c r="H13" s="22" t="s">
        <v>14</v>
      </c>
      <c r="K13" s="7">
        <v>45600</v>
      </c>
    </row>
    <row r="14" spans="1:11" ht="23.25" x14ac:dyDescent="0.35">
      <c r="A14" s="19">
        <v>8</v>
      </c>
      <c r="B14" s="3">
        <v>45604</v>
      </c>
      <c r="C14" s="19" t="s">
        <v>17</v>
      </c>
      <c r="D14" s="18">
        <v>2000</v>
      </c>
      <c r="E14" s="20" t="s">
        <v>24</v>
      </c>
      <c r="F14" s="2" t="s">
        <v>28</v>
      </c>
      <c r="H14" s="22" t="s">
        <v>15</v>
      </c>
      <c r="K14" s="7">
        <v>45601</v>
      </c>
    </row>
    <row r="15" spans="1:11" ht="24" thickBot="1" x14ac:dyDescent="0.4">
      <c r="A15" s="19">
        <v>9</v>
      </c>
      <c r="B15" s="3">
        <v>45605</v>
      </c>
      <c r="C15" s="19" t="s">
        <v>18</v>
      </c>
      <c r="D15" s="18">
        <v>15000</v>
      </c>
      <c r="E15" s="20" t="s">
        <v>25</v>
      </c>
      <c r="F15" s="2" t="s">
        <v>26</v>
      </c>
      <c r="H15" s="23" t="s">
        <v>16</v>
      </c>
      <c r="K15" s="7">
        <v>45604</v>
      </c>
    </row>
    <row r="16" spans="1:11" ht="21" x14ac:dyDescent="0.35">
      <c r="D16">
        <f>SUM(D8:D15)</f>
        <v>70500</v>
      </c>
      <c r="K16" s="7">
        <v>45605</v>
      </c>
    </row>
  </sheetData>
  <mergeCells count="4">
    <mergeCell ref="A2:F2"/>
    <mergeCell ref="A3:F3"/>
    <mergeCell ref="A4:F4"/>
    <mergeCell ref="A5:F5"/>
  </mergeCells>
  <dataValidations count="1">
    <dataValidation type="list" allowBlank="1" showInputMessage="1" showErrorMessage="1" sqref="C7:C15">
      <formula1>"POLY,SANITIZER,SOAP,CAP,MASK,WATER,SALARY,EVENING SNACKS,ELECTRTRICITY BILL"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G12"/>
  <sheetViews>
    <sheetView workbookViewId="0">
      <selection activeCell="G8" sqref="G8"/>
    </sheetView>
  </sheetViews>
  <sheetFormatPr defaultRowHeight="15" x14ac:dyDescent="0.25"/>
  <cols>
    <col min="5" max="5" width="14.85546875" customWidth="1"/>
    <col min="6" max="6" width="10.85546875" customWidth="1"/>
    <col min="7" max="7" width="13" customWidth="1"/>
  </cols>
  <sheetData>
    <row r="6" spans="4:7" ht="21" x14ac:dyDescent="0.25">
      <c r="D6" s="4" t="s">
        <v>2</v>
      </c>
      <c r="E6" s="4" t="s">
        <v>4</v>
      </c>
      <c r="F6" s="4" t="s">
        <v>3</v>
      </c>
      <c r="G6" s="4" t="s">
        <v>6</v>
      </c>
    </row>
    <row r="7" spans="4:7" ht="21" x14ac:dyDescent="0.35">
      <c r="D7" s="6">
        <v>1</v>
      </c>
      <c r="E7" s="7">
        <v>45597</v>
      </c>
      <c r="F7" s="1">
        <f>SUMIF(Sheet1!$B$6:$B$15,Sheet2!E7,Sheet1!$D$6:$D$15)</f>
        <v>1000</v>
      </c>
      <c r="G7" s="5"/>
    </row>
    <row r="8" spans="4:7" ht="21" x14ac:dyDescent="0.35">
      <c r="D8" s="6">
        <v>2</v>
      </c>
      <c r="E8" s="7">
        <v>45599</v>
      </c>
      <c r="F8" s="1">
        <f>SUMIF(Sheet1!$B$6:$B$15,Sheet2!E8,Sheet1!$D$6:$D$15)</f>
        <v>500</v>
      </c>
      <c r="G8" s="5"/>
    </row>
    <row r="9" spans="4:7" ht="21" x14ac:dyDescent="0.35">
      <c r="D9" s="6">
        <v>3</v>
      </c>
      <c r="E9" s="7">
        <v>45600</v>
      </c>
      <c r="F9" s="1">
        <f>SUMIF(Sheet1!$B$6:$B$15,Sheet2!E9,Sheet1!$D$6:$D$15)</f>
        <v>500</v>
      </c>
      <c r="G9" s="5"/>
    </row>
    <row r="10" spans="4:7" ht="21" x14ac:dyDescent="0.35">
      <c r="D10" s="6">
        <v>4</v>
      </c>
      <c r="E10" s="7">
        <v>45601</v>
      </c>
      <c r="F10" s="1">
        <f>SUMIF(Sheet1!$B$6:$B$15,Sheet2!E10,Sheet1!$D$6:$D$15)</f>
        <v>51500</v>
      </c>
      <c r="G10" s="5"/>
    </row>
    <row r="11" spans="4:7" ht="21" x14ac:dyDescent="0.35">
      <c r="D11" s="6">
        <v>5</v>
      </c>
      <c r="E11" s="7">
        <v>45604</v>
      </c>
      <c r="F11" s="1">
        <f>SUMIF(Sheet1!$B$6:$B$15,Sheet2!E11,Sheet1!$D$6:$D$15)</f>
        <v>2000</v>
      </c>
      <c r="G11" s="5"/>
    </row>
    <row r="12" spans="4:7" ht="21" x14ac:dyDescent="0.35">
      <c r="D12" s="6">
        <v>6</v>
      </c>
      <c r="E12" s="7">
        <v>45605</v>
      </c>
      <c r="F12" s="1">
        <f>SUMIF(Sheet1!$B$6:$B$15,Sheet2!E12,Sheet1!$D$6:$D$15)</f>
        <v>15000</v>
      </c>
      <c r="G12" s="5">
        <f>SUMIF(Sheet1!C11:C20,Sheet2!F12,Sheet1!E11:E20)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</dc:creator>
  <cp:lastModifiedBy>bus</cp:lastModifiedBy>
  <dcterms:created xsi:type="dcterms:W3CDTF">2025-05-16T11:29:11Z</dcterms:created>
  <dcterms:modified xsi:type="dcterms:W3CDTF">2025-05-16T13:32:30Z</dcterms:modified>
</cp:coreProperties>
</file>